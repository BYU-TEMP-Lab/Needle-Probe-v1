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cobcn2\Documents\MATLAB\MoltenSalts\V7 _NeedleProbe_Calibration_5-layers\"/>
    </mc:Choice>
  </mc:AlternateContent>
  <xr:revisionPtr revIDLastSave="0" documentId="13_ncr:1_{88347A4C-EC88-4E9D-A561-58B98F6BCE59}" xr6:coauthVersionLast="36" xr6:coauthVersionMax="36" xr10:uidLastSave="{00000000-0000-0000-0000-000000000000}"/>
  <bookViews>
    <workbookView xWindow="0" yWindow="0" windowWidth="5355" windowHeight="7890" activeTab="2" xr2:uid="{00000000-000D-0000-FFFF-FFFF00000000}"/>
  </bookViews>
  <sheets>
    <sheet name="Default Dataset (1)" sheetId="1" r:id="rId1"/>
    <sheet name="Sheet1" sheetId="2" r:id="rId2"/>
    <sheet name="Sheet2" sheetId="3" r:id="rId3"/>
  </sheets>
  <calcPr calcId="191029"/>
</workbook>
</file>

<file path=xl/calcChain.xml><?xml version="1.0" encoding="utf-8"?>
<calcChain xmlns="http://schemas.openxmlformats.org/spreadsheetml/2006/main">
  <c r="F18" i="3" l="1"/>
  <c r="F19" i="3"/>
  <c r="D19" i="3"/>
  <c r="D18" i="3"/>
  <c r="E18" i="3"/>
  <c r="E19" i="3"/>
  <c r="C19" i="3"/>
  <c r="C18" i="3"/>
  <c r="D2" i="2"/>
  <c r="D1" i="2"/>
</calcChain>
</file>

<file path=xl/sharedStrings.xml><?xml version="1.0" encoding="utf-8"?>
<sst xmlns="http://schemas.openxmlformats.org/spreadsheetml/2006/main" count="9" uniqueCount="7">
  <si>
    <t>Intercept</t>
  </si>
  <si>
    <t>Slope</t>
  </si>
  <si>
    <t>Temp (K)</t>
  </si>
  <si>
    <t>Density (kg/m3)</t>
  </si>
  <si>
    <t>Cp (J/kgK)</t>
  </si>
  <si>
    <t>k (W/mK)</t>
  </si>
  <si>
    <t>Cp (J/m3K)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</si>
</sst>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42115901137357831"/>
                  <c:y val="-9.63735783027120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'Default Dataset (1)'!$A$30:$A$105</c:f>
              <c:numCache>
                <c:formatCode>General</c:formatCode>
                <c:ptCount val="76"/>
                <c:pt idx="0">
                  <c:v>3.6582607112319199</c:v>
                </c:pt>
                <c:pt idx="1">
                  <c:v>3.8227924518774299</c:v>
                </c:pt>
                <c:pt idx="2">
                  <c:v>3.9947240734545399</c:v>
                </c:pt>
                <c:pt idx="3">
                  <c:v>4.17438838857184</c:v>
                </c:pt>
                <c:pt idx="4">
                  <c:v>4.3621331782182997</c:v>
                </c:pt>
                <c:pt idx="5">
                  <c:v>4.5583218649721502</c:v>
                </c:pt>
                <c:pt idx="6">
                  <c:v>4.76333421648763</c:v>
                </c:pt>
                <c:pt idx="7">
                  <c:v>4.9775670806213403</c:v>
                </c:pt>
                <c:pt idx="8">
                  <c:v>5.2014351536211603</c:v>
                </c:pt>
                <c:pt idx="9">
                  <c:v>5.4353717828647996</c:v>
                </c:pt>
                <c:pt idx="10">
                  <c:v>5.6798298057018597</c:v>
                </c:pt>
                <c:pt idx="11">
                  <c:v>5.9352824260230896</c:v>
                </c:pt>
                <c:pt idx="12">
                  <c:v>6.2022241302537502</c:v>
                </c:pt>
                <c:pt idx="13">
                  <c:v>6.4811716445441201</c:v>
                </c:pt>
                <c:pt idx="14">
                  <c:v>6.7726649350100301</c:v>
                </c:pt>
                <c:pt idx="15">
                  <c:v>7.0772682529596702</c:v>
                </c:pt>
                <c:pt idx="16">
                  <c:v>7.39557122712975</c:v>
                </c:pt>
                <c:pt idx="17">
                  <c:v>7.7281900050456001</c:v>
                </c:pt>
                <c:pt idx="18">
                  <c:v>8.0757684457142602</c:v>
                </c:pt>
                <c:pt idx="19">
                  <c:v>8.4389793659594794</c:v>
                </c:pt>
                <c:pt idx="20">
                  <c:v>8.8185258428111304</c:v>
                </c:pt>
                <c:pt idx="21">
                  <c:v>9.2151425744700806</c:v>
                </c:pt>
                <c:pt idx="22">
                  <c:v>9.6295973024830399</c:v>
                </c:pt>
                <c:pt idx="23">
                  <c:v>10.062692297880201</c:v>
                </c:pt>
                <c:pt idx="24">
                  <c:v>10.5152659141529</c:v>
                </c:pt>
                <c:pt idx="25">
                  <c:v>10.9881942100762</c:v>
                </c:pt>
                <c:pt idx="26">
                  <c:v>11.482392645519599</c:v>
                </c:pt>
                <c:pt idx="27">
                  <c:v>11.9988178535268</c:v>
                </c:pt>
                <c:pt idx="28">
                  <c:v>12.538469492095899</c:v>
                </c:pt>
                <c:pt idx="29">
                  <c:v>13.102392179243701</c:v>
                </c:pt>
                <c:pt idx="30">
                  <c:v>13.6916775151008</c:v>
                </c:pt>
                <c:pt idx="31">
                  <c:v>14.3074661949508</c:v>
                </c:pt>
                <c:pt idx="32">
                  <c:v>14.9509502173045</c:v>
                </c:pt>
                <c:pt idx="33">
                  <c:v>15.6233751912832</c:v>
                </c:pt>
                <c:pt idx="34">
                  <c:v>16.326042747777301</c:v>
                </c:pt>
                <c:pt idx="35">
                  <c:v>17.0603130590478</c:v>
                </c:pt>
                <c:pt idx="36">
                  <c:v>17.827607471647799</c:v>
                </c:pt>
                <c:pt idx="37">
                  <c:v>18.629411257761099</c:v>
                </c:pt>
                <c:pt idx="38">
                  <c:v>19.4672764902826</c:v>
                </c:pt>
                <c:pt idx="39">
                  <c:v>20.342825047207398</c:v>
                </c:pt>
                <c:pt idx="40">
                  <c:v>21.257751751142901</c:v>
                </c:pt>
                <c:pt idx="41">
                  <c:v>22.2138276500221</c:v>
                </c:pt>
                <c:pt idx="42">
                  <c:v>23.212903445368301</c:v>
                </c:pt>
                <c:pt idx="43">
                  <c:v>24.256913074746599</c:v>
                </c:pt>
                <c:pt idx="44">
                  <c:v>25.347877455339098</c:v>
                </c:pt>
                <c:pt idx="45">
                  <c:v>26.487908395887299</c:v>
                </c:pt>
                <c:pt idx="46">
                  <c:v>27.679212684576601</c:v>
                </c:pt>
                <c:pt idx="47">
                  <c:v>28.924096360775099</c:v>
                </c:pt>
                <c:pt idx="48">
                  <c:v>30.224969178894799</c:v>
                </c:pt>
                <c:pt idx="49">
                  <c:v>31.5843492730177</c:v>
                </c:pt>
                <c:pt idx="50">
                  <c:v>33.004868031314501</c:v>
                </c:pt>
                <c:pt idx="51">
                  <c:v>34.489275189693103</c:v>
                </c:pt>
                <c:pt idx="52">
                  <c:v>36.040444154534697</c:v>
                </c:pt>
                <c:pt idx="53">
                  <c:v>37.661377564823503</c:v>
                </c:pt>
                <c:pt idx="54">
                  <c:v>39.355213104434803</c:v>
                </c:pt>
                <c:pt idx="55">
                  <c:v>41.125229575832599</c:v>
                </c:pt>
                <c:pt idx="56">
                  <c:v>42.974853246934899</c:v>
                </c:pt>
                <c:pt idx="57">
                  <c:v>44.907664483431702</c:v>
                </c:pt>
                <c:pt idx="58">
                  <c:v>46.927404679393597</c:v>
                </c:pt>
                <c:pt idx="59">
                  <c:v>49.037983499588499</c:v>
                </c:pt>
                <c:pt idx="60">
                  <c:v>51.2434864475225</c:v>
                </c:pt>
                <c:pt idx="61">
                  <c:v>53.5481827738585</c:v>
                </c:pt>
                <c:pt idx="62">
                  <c:v>55.956533740517798</c:v>
                </c:pt>
                <c:pt idx="63">
                  <c:v>58.473201256463199</c:v>
                </c:pt>
                <c:pt idx="64">
                  <c:v>61.1030569018805</c:v>
                </c:pt>
                <c:pt idx="65">
                  <c:v>63.851191358225101</c:v>
                </c:pt>
                <c:pt idx="66">
                  <c:v>66.722924262389995</c:v>
                </c:pt>
                <c:pt idx="67">
                  <c:v>69.723814504067903</c:v>
                </c:pt>
                <c:pt idx="68">
                  <c:v>72.859670986241994</c:v>
                </c:pt>
                <c:pt idx="69">
                  <c:v>76.136563869633207</c:v>
                </c:pt>
                <c:pt idx="70">
                  <c:v>79.560836322872603</c:v>
                </c:pt>
                <c:pt idx="71">
                  <c:v>83.139116801140204</c:v>
                </c:pt>
                <c:pt idx="72">
                  <c:v>86.878331877043394</c:v>
                </c:pt>
                <c:pt idx="73">
                  <c:v>90.785719648565703</c:v>
                </c:pt>
                <c:pt idx="74">
                  <c:v>94.868843750047304</c:v>
                </c:pt>
                <c:pt idx="75">
                  <c:v>98.542664650796596</c:v>
                </c:pt>
              </c:numCache>
            </c:numRef>
          </c:xVal>
          <c:yVal>
            <c:numRef>
              <c:f>'Default Dataset (1)'!$B$30:$B$105</c:f>
              <c:numCache>
                <c:formatCode>General</c:formatCode>
                <c:ptCount val="76"/>
                <c:pt idx="0">
                  <c:v>175.08674478763101</c:v>
                </c:pt>
                <c:pt idx="1">
                  <c:v>141.82648700206499</c:v>
                </c:pt>
                <c:pt idx="2">
                  <c:v>116.203532405261</c:v>
                </c:pt>
                <c:pt idx="3">
                  <c:v>102.383891535464</c:v>
                </c:pt>
                <c:pt idx="4">
                  <c:v>91.908753124205106</c:v>
                </c:pt>
                <c:pt idx="5">
                  <c:v>82.676779934683196</c:v>
                </c:pt>
                <c:pt idx="6">
                  <c:v>74.294987495320797</c:v>
                </c:pt>
                <c:pt idx="7">
                  <c:v>66.693691377300894</c:v>
                </c:pt>
                <c:pt idx="8">
                  <c:v>61.827584666726501</c:v>
                </c:pt>
                <c:pt idx="9">
                  <c:v>57.794373041093799</c:v>
                </c:pt>
                <c:pt idx="10">
                  <c:v>54.136511950513203</c:v>
                </c:pt>
                <c:pt idx="11">
                  <c:v>50.447702228892901</c:v>
                </c:pt>
                <c:pt idx="12">
                  <c:v>46.284089741502001</c:v>
                </c:pt>
                <c:pt idx="13">
                  <c:v>42.156741249590198</c:v>
                </c:pt>
                <c:pt idx="14">
                  <c:v>38.357617012461297</c:v>
                </c:pt>
                <c:pt idx="15">
                  <c:v>34.792372823678498</c:v>
                </c:pt>
                <c:pt idx="16">
                  <c:v>31.525774116281202</c:v>
                </c:pt>
                <c:pt idx="17">
                  <c:v>28.506640108863301</c:v>
                </c:pt>
                <c:pt idx="18">
                  <c:v>25.9107450107734</c:v>
                </c:pt>
                <c:pt idx="19">
                  <c:v>23.895924179093999</c:v>
                </c:pt>
                <c:pt idx="20">
                  <c:v>22.106496472116401</c:v>
                </c:pt>
                <c:pt idx="21">
                  <c:v>20.536143115965199</c:v>
                </c:pt>
                <c:pt idx="22">
                  <c:v>19.176592489649199</c:v>
                </c:pt>
                <c:pt idx="23">
                  <c:v>17.9442550821834</c:v>
                </c:pt>
                <c:pt idx="24">
                  <c:v>16.8959938208483</c:v>
                </c:pt>
                <c:pt idx="25">
                  <c:v>15.958578576351099</c:v>
                </c:pt>
                <c:pt idx="26">
                  <c:v>15.104491470399401</c:v>
                </c:pt>
                <c:pt idx="27">
                  <c:v>14.3109587219103</c:v>
                </c:pt>
                <c:pt idx="28">
                  <c:v>13.672159004143699</c:v>
                </c:pt>
                <c:pt idx="29">
                  <c:v>13.034789864996901</c:v>
                </c:pt>
                <c:pt idx="30">
                  <c:v>12.478829282422399</c:v>
                </c:pt>
                <c:pt idx="31">
                  <c:v>11.971404079698299</c:v>
                </c:pt>
                <c:pt idx="32">
                  <c:v>11.460799086804901</c:v>
                </c:pt>
                <c:pt idx="33">
                  <c:v>10.9947699290703</c:v>
                </c:pt>
                <c:pt idx="34">
                  <c:v>10.5476908614833</c:v>
                </c:pt>
                <c:pt idx="35">
                  <c:v>10.160884502175</c:v>
                </c:pt>
                <c:pt idx="36">
                  <c:v>9.7578352304261493</c:v>
                </c:pt>
                <c:pt idx="37">
                  <c:v>9.3805038237095797</c:v>
                </c:pt>
                <c:pt idx="38">
                  <c:v>9.0458838222062106</c:v>
                </c:pt>
                <c:pt idx="39">
                  <c:v>8.7141519356782897</c:v>
                </c:pt>
                <c:pt idx="40">
                  <c:v>8.3858778297159695</c:v>
                </c:pt>
                <c:pt idx="41">
                  <c:v>8.1119549190068998</c:v>
                </c:pt>
                <c:pt idx="42">
                  <c:v>7.8714489350302799</c:v>
                </c:pt>
                <c:pt idx="43">
                  <c:v>7.70975017940005</c:v>
                </c:pt>
                <c:pt idx="44">
                  <c:v>7.5749206118098096</c:v>
                </c:pt>
                <c:pt idx="45">
                  <c:v>7.4193132710219203</c:v>
                </c:pt>
                <c:pt idx="46">
                  <c:v>7.27444812484352</c:v>
                </c:pt>
                <c:pt idx="47">
                  <c:v>7.1398175210193404</c:v>
                </c:pt>
                <c:pt idx="48">
                  <c:v>6.9714092628703401</c:v>
                </c:pt>
                <c:pt idx="49">
                  <c:v>6.84949194070877</c:v>
                </c:pt>
                <c:pt idx="50">
                  <c:v>6.7157527906024796</c:v>
                </c:pt>
                <c:pt idx="51">
                  <c:v>6.6879316482300997</c:v>
                </c:pt>
                <c:pt idx="52">
                  <c:v>6.59830643712412</c:v>
                </c:pt>
                <c:pt idx="53">
                  <c:v>6.5573470293494998</c:v>
                </c:pt>
                <c:pt idx="54">
                  <c:v>6.5573470293494998</c:v>
                </c:pt>
                <c:pt idx="55">
                  <c:v>6.4093258817373204</c:v>
                </c:pt>
                <c:pt idx="56">
                  <c:v>6.4093258817373204</c:v>
                </c:pt>
                <c:pt idx="57">
                  <c:v>6.4093258817373204</c:v>
                </c:pt>
                <c:pt idx="58">
                  <c:v>6.35633244262032</c:v>
                </c:pt>
                <c:pt idx="59">
                  <c:v>6.3365730610888198</c:v>
                </c:pt>
                <c:pt idx="60">
                  <c:v>6.3168751038396396</c:v>
                </c:pt>
                <c:pt idx="61">
                  <c:v>6.2646460640932196</c:v>
                </c:pt>
                <c:pt idx="62">
                  <c:v>6.2646460640932196</c:v>
                </c:pt>
                <c:pt idx="63">
                  <c:v>6.2646460640932196</c:v>
                </c:pt>
                <c:pt idx="64">
                  <c:v>6.2646460640932196</c:v>
                </c:pt>
                <c:pt idx="65">
                  <c:v>6.2646460640932196</c:v>
                </c:pt>
                <c:pt idx="66">
                  <c:v>6.1935355167537898</c:v>
                </c:pt>
                <c:pt idx="67">
                  <c:v>6.1232321514787502</c:v>
                </c:pt>
                <c:pt idx="68">
                  <c:v>6.1232321514787502</c:v>
                </c:pt>
                <c:pt idx="69">
                  <c:v>6.05372680587368</c:v>
                </c:pt>
                <c:pt idx="70">
                  <c:v>5.9850104215472797</c:v>
                </c:pt>
                <c:pt idx="71">
                  <c:v>5.8986801460382203</c:v>
                </c:pt>
                <c:pt idx="72">
                  <c:v>5.8377791221509403</c:v>
                </c:pt>
                <c:pt idx="73">
                  <c:v>5.7178569035750098</c:v>
                </c:pt>
                <c:pt idx="74">
                  <c:v>5.6178619418819897</c:v>
                </c:pt>
                <c:pt idx="75">
                  <c:v>5.5174679942655303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8-42FB-978E-97CD2BADE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492959"/>
        <c:axId val="456062863"/>
      </c:scatterChart>
      <c:valAx>
        <c:axId val="45749295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062863"/>
        <c:crossesAt val="1"/>
        <c:crossBetween val="midCat"/>
      </c:valAx>
      <c:valAx>
        <c:axId val="456062863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92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Sheet2!$C$2</c:f>
              <c:strCache>
                <c:ptCount val="1"/>
                <c:pt idx="0">
                  <c:v>Density (kg/m3)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18693265577830157"/>
                  <c:y val="5.2296587926509187E-3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Sheet2!$B$3:$B$17</c:f>
              <c:numCache>
                <c:formatCode>General</c:formatCode>
                <c:ptCount val="15"/>
                <c:pt idx="0">
                  <c:v>295</c:v>
                </c:pt>
                <c:pt idx="1">
                  <c:v>345</c:v>
                </c:pt>
                <c:pt idx="2">
                  <c:v>395</c:v>
                </c:pt>
                <c:pt idx="3">
                  <c:v>445</c:v>
                </c:pt>
                <c:pt idx="4">
                  <c:v>495</c:v>
                </c:pt>
                <c:pt idx="5">
                  <c:v>545</c:v>
                </c:pt>
                <c:pt idx="6">
                  <c:v>595</c:v>
                </c:pt>
                <c:pt idx="7">
                  <c:v>645</c:v>
                </c:pt>
                <c:pt idx="8">
                  <c:v>695</c:v>
                </c:pt>
                <c:pt idx="9">
                  <c:v>745</c:v>
                </c:pt>
                <c:pt idx="10">
                  <c:v>795</c:v>
                </c:pt>
                <c:pt idx="11">
                  <c:v>845</c:v>
                </c:pt>
                <c:pt idx="12">
                  <c:v>895</c:v>
                </c:pt>
                <c:pt idx="13">
                  <c:v>945</c:v>
                </c:pt>
                <c:pt idx="14">
                  <c:v>995</c:v>
                </c:pt>
              </c:numCache>
            </c:numRef>
          </c:xVal>
          <c:yVal>
            <c:numRef>
              <c:f>Sheet2!$C$3:$C$17</c:f>
              <c:numCache>
                <c:formatCode>General</c:formatCode>
                <c:ptCount val="15"/>
                <c:pt idx="0">
                  <c:v>1.6369</c:v>
                </c:pt>
                <c:pt idx="1">
                  <c:v>1.3991</c:v>
                </c:pt>
                <c:pt idx="2">
                  <c:v>1.2218</c:v>
                </c:pt>
                <c:pt idx="3">
                  <c:v>1.0843</c:v>
                </c:pt>
                <c:pt idx="4">
                  <c:v>0.97474000000000005</c:v>
                </c:pt>
                <c:pt idx="5">
                  <c:v>0.88527999999999996</c:v>
                </c:pt>
                <c:pt idx="6">
                  <c:v>0.81086000000000003</c:v>
                </c:pt>
                <c:pt idx="7">
                  <c:v>0.74799000000000004</c:v>
                </c:pt>
                <c:pt idx="8">
                  <c:v>0.69416999999999995</c:v>
                </c:pt>
                <c:pt idx="9">
                  <c:v>0.64758000000000004</c:v>
                </c:pt>
                <c:pt idx="10">
                  <c:v>0.60685</c:v>
                </c:pt>
                <c:pt idx="11">
                  <c:v>0.57094999999999996</c:v>
                </c:pt>
                <c:pt idx="12">
                  <c:v>0.53905000000000003</c:v>
                </c:pt>
                <c:pt idx="13">
                  <c:v>0.51053000000000004</c:v>
                </c:pt>
                <c:pt idx="14">
                  <c:v>0.48487999999999998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B1-4696-B209-8B44235F3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01487"/>
        <c:axId val="2134054287"/>
      </c:scatterChart>
      <c:valAx>
        <c:axId val="213490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4287"/>
        <c:crosses val="autoZero"/>
        <c:crossBetween val="midCat"/>
      </c:valAx>
      <c:valAx>
        <c:axId val="2134054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01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Sheet2!$E$2</c:f>
              <c:strCache>
                <c:ptCount val="1"/>
                <c:pt idx="0">
                  <c:v>k (W/mK)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Sheet2!$B$3:$B$17</c:f>
              <c:numCache>
                <c:formatCode>General</c:formatCode>
                <c:ptCount val="15"/>
                <c:pt idx="0">
                  <c:v>295</c:v>
                </c:pt>
                <c:pt idx="1">
                  <c:v>345</c:v>
                </c:pt>
                <c:pt idx="2">
                  <c:v>395</c:v>
                </c:pt>
                <c:pt idx="3">
                  <c:v>445</c:v>
                </c:pt>
                <c:pt idx="4">
                  <c:v>495</c:v>
                </c:pt>
                <c:pt idx="5">
                  <c:v>545</c:v>
                </c:pt>
                <c:pt idx="6">
                  <c:v>595</c:v>
                </c:pt>
                <c:pt idx="7">
                  <c:v>645</c:v>
                </c:pt>
                <c:pt idx="8">
                  <c:v>695</c:v>
                </c:pt>
                <c:pt idx="9">
                  <c:v>745</c:v>
                </c:pt>
                <c:pt idx="10">
                  <c:v>795</c:v>
                </c:pt>
                <c:pt idx="11">
                  <c:v>845</c:v>
                </c:pt>
                <c:pt idx="12">
                  <c:v>895</c:v>
                </c:pt>
                <c:pt idx="13">
                  <c:v>945</c:v>
                </c:pt>
                <c:pt idx="14">
                  <c:v>995</c:v>
                </c:pt>
              </c:numCache>
            </c:numRef>
          </c:xVal>
          <c:yVal>
            <c:numRef>
              <c:f>Sheet2!$E$3:$E$17</c:f>
              <c:numCache>
                <c:formatCode>General</c:formatCode>
                <c:ptCount val="15"/>
                <c:pt idx="0">
                  <c:v>1.7587999999999999E-2</c:v>
                </c:pt>
                <c:pt idx="1">
                  <c:v>2.009E-2</c:v>
                </c:pt>
                <c:pt idx="2">
                  <c:v>2.2294000000000001E-2</c:v>
                </c:pt>
                <c:pt idx="3">
                  <c:v>2.4461E-2</c:v>
                </c:pt>
                <c:pt idx="4">
                  <c:v>2.6525E-2</c:v>
                </c:pt>
                <c:pt idx="5">
                  <c:v>2.8497000000000001E-2</c:v>
                </c:pt>
                <c:pt idx="6">
                  <c:v>3.0387999999999998E-2</c:v>
                </c:pt>
                <c:pt idx="7">
                  <c:v>3.2207E-2</c:v>
                </c:pt>
                <c:pt idx="8">
                  <c:v>3.3960999999999998E-2</c:v>
                </c:pt>
                <c:pt idx="9">
                  <c:v>3.5657000000000001E-2</c:v>
                </c:pt>
                <c:pt idx="10">
                  <c:v>3.7301000000000001E-2</c:v>
                </c:pt>
                <c:pt idx="11">
                  <c:v>3.8896E-2</c:v>
                </c:pt>
                <c:pt idx="12">
                  <c:v>4.0447999999999998E-2</c:v>
                </c:pt>
                <c:pt idx="13">
                  <c:v>4.1959999999999997E-2</c:v>
                </c:pt>
                <c:pt idx="14">
                  <c:v>4.3436000000000002E-2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70-4F66-AF23-4018A24E7D87}"/>
            </c:ext>
          </c:extLst>
        </c:ser>
        <c:ser>
          <c:idx val="1"/>
          <c:order val="1"/>
          <c:tx>
            <c:v>expsolved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Sheet2!$C$25:$C$29</c:f>
              <c:numCache>
                <c:formatCode>General</c:formatCode>
                <c:ptCount val="5"/>
                <c:pt idx="0">
                  <c:v>201.93553693119301</c:v>
                </c:pt>
                <c:pt idx="1">
                  <c:v>240.71178006872901</c:v>
                </c:pt>
                <c:pt idx="2">
                  <c:v>286.38196623361802</c:v>
                </c:pt>
                <c:pt idx="3">
                  <c:v>324.72369542750903</c:v>
                </c:pt>
                <c:pt idx="4">
                  <c:v>368.21603739259302</c:v>
                </c:pt>
              </c:numCache>
            </c:numRef>
          </c:xVal>
          <c:yVal>
            <c:numRef>
              <c:f>Sheet2!$D$25:$D$29</c:f>
              <c:numCache>
                <c:formatCode>General</c:formatCode>
                <c:ptCount val="5"/>
                <c:pt idx="0">
                  <c:v>3.0040161892538601E-2</c:v>
                </c:pt>
                <c:pt idx="1">
                  <c:v>3.1277768936870003E-2</c:v>
                </c:pt>
                <c:pt idx="2">
                  <c:v>3.2246928717838103E-2</c:v>
                </c:pt>
                <c:pt idx="3">
                  <c:v>3.4315220940319302E-2</c:v>
                </c:pt>
                <c:pt idx="4">
                  <c:v>2.90256802048122E-2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C5-4A5D-B0EB-DA82B0E296FF}"/>
            </c:ext>
          </c:extLst>
        </c:ser>
        <c:ser>
          <c:idx val="2"/>
          <c:order val="2"/>
          <c:tx>
            <c:v>kexp_curve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Sheet2!$C$32:$C$36</c:f>
              <c:numCache>
                <c:formatCode>General</c:formatCode>
                <c:ptCount val="5"/>
                <c:pt idx="0">
                  <c:v>201.93553693119301</c:v>
                </c:pt>
                <c:pt idx="1">
                  <c:v>240.71178006872901</c:v>
                </c:pt>
                <c:pt idx="2">
                  <c:v>286.38196623361802</c:v>
                </c:pt>
                <c:pt idx="3">
                  <c:v>324.72369542750903</c:v>
                </c:pt>
                <c:pt idx="4">
                  <c:v>368.21603739259302</c:v>
                </c:pt>
              </c:numCache>
            </c:numRef>
          </c:xVal>
          <c:yVal>
            <c:numRef>
              <c:f>Sheet2!$D$32:$D$36</c:f>
              <c:numCache>
                <c:formatCode>General</c:formatCode>
                <c:ptCount val="5"/>
                <c:pt idx="0">
                  <c:v>2.4047962055557301E-2</c:v>
                </c:pt>
                <c:pt idx="1">
                  <c:v>2.8136908671422101E-2</c:v>
                </c:pt>
                <c:pt idx="2">
                  <c:v>3.23537777436642E-2</c:v>
                </c:pt>
                <c:pt idx="3">
                  <c:v>3.5590373711010398E-2</c:v>
                </c:pt>
                <c:pt idx="4">
                  <c:v>1.21278865674623E-2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C5-4A5D-B0EB-DA82B0E29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896287"/>
        <c:axId val="2130570063"/>
      </c:scatterChart>
      <c:valAx>
        <c:axId val="2134896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570063"/>
        <c:crosses val="autoZero"/>
        <c:crossBetween val="midCat"/>
      </c:valAx>
      <c:valAx>
        <c:axId val="213057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96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Sheet2!$F$2</c:f>
              <c:strCache>
                <c:ptCount val="1"/>
                <c:pt idx="0">
                  <c:v>Cp (J/m3K)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Sheet2!$B$3:$B$7</c:f>
              <c:numCache>
                <c:formatCode>General</c:formatCode>
                <c:ptCount val="5"/>
                <c:pt idx="0">
                  <c:v>295</c:v>
                </c:pt>
                <c:pt idx="1">
                  <c:v>345</c:v>
                </c:pt>
                <c:pt idx="2">
                  <c:v>395</c:v>
                </c:pt>
                <c:pt idx="3">
                  <c:v>445</c:v>
                </c:pt>
                <c:pt idx="4">
                  <c:v>495</c:v>
                </c:pt>
              </c:numCache>
            </c:numRef>
          </c:xVal>
          <c:yVal>
            <c:numRef>
              <c:f>Sheet2!$F$3:$F$7</c:f>
              <c:numCache>
                <c:formatCode>General</c:formatCode>
                <c:ptCount val="5"/>
                <c:pt idx="0">
                  <c:v>20.835999999999999</c:v>
                </c:pt>
                <c:pt idx="1">
                  <c:v>20.82</c:v>
                </c:pt>
                <c:pt idx="2">
                  <c:v>20.811</c:v>
                </c:pt>
                <c:pt idx="3">
                  <c:v>20.805</c:v>
                </c:pt>
                <c:pt idx="4">
                  <c:v>20.800999999999998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F3-4652-B62E-5520A7B26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199455"/>
        <c:axId val="2132077455"/>
      </c:scatterChart>
      <c:valAx>
        <c:axId val="212419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77455"/>
        <c:crosses val="autoZero"/>
        <c:crossBetween val="midCat"/>
      </c:valAx>
      <c:valAx>
        <c:axId val="213207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19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Sheet2!$F$2</c:f>
              <c:strCache>
                <c:ptCount val="1"/>
                <c:pt idx="0">
                  <c:v>Cp (J/m3K)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Sheet2!$B$8:$B$13</c:f>
              <c:numCache>
                <c:formatCode>General</c:formatCode>
                <c:ptCount val="6"/>
                <c:pt idx="0">
                  <c:v>545</c:v>
                </c:pt>
                <c:pt idx="1">
                  <c:v>595</c:v>
                </c:pt>
                <c:pt idx="2">
                  <c:v>645</c:v>
                </c:pt>
                <c:pt idx="3">
                  <c:v>695</c:v>
                </c:pt>
                <c:pt idx="4">
                  <c:v>745</c:v>
                </c:pt>
                <c:pt idx="5">
                  <c:v>795</c:v>
                </c:pt>
              </c:numCache>
            </c:numRef>
          </c:xVal>
          <c:yVal>
            <c:numRef>
              <c:f>Sheet2!$F$8:$F$13</c:f>
              <c:numCache>
                <c:formatCode>General</c:formatCode>
                <c:ptCount val="6"/>
                <c:pt idx="0">
                  <c:v>20.797999999999998</c:v>
                </c:pt>
                <c:pt idx="1">
                  <c:v>20.795999999999999</c:v>
                </c:pt>
                <c:pt idx="2">
                  <c:v>20.794</c:v>
                </c:pt>
                <c:pt idx="3">
                  <c:v>20.792999999999999</c:v>
                </c:pt>
                <c:pt idx="4">
                  <c:v>20.792000000000002</c:v>
                </c:pt>
                <c:pt idx="5">
                  <c:v>20.791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4-40A0-B852-4EEC1E6D7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199455"/>
        <c:axId val="2132077455"/>
      </c:scatterChart>
      <c:valAx>
        <c:axId val="212419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77455"/>
        <c:crosses val="autoZero"/>
        <c:crossBetween val="midCat"/>
      </c:valAx>
      <c:valAx>
        <c:axId val="213207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19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Sheet2!$F$2</c:f>
              <c:strCache>
                <c:ptCount val="1"/>
                <c:pt idx="0">
                  <c:v>Cp (J/m3K)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Sheet2!$B$14:$B$17</c:f>
              <c:numCache>
                <c:formatCode>General</c:formatCode>
                <c:ptCount val="4"/>
                <c:pt idx="0">
                  <c:v>845</c:v>
                </c:pt>
                <c:pt idx="1">
                  <c:v>895</c:v>
                </c:pt>
                <c:pt idx="2">
                  <c:v>945</c:v>
                </c:pt>
                <c:pt idx="3">
                  <c:v>995</c:v>
                </c:pt>
              </c:numCache>
            </c:numRef>
          </c:xVal>
          <c:yVal>
            <c:numRef>
              <c:f>Sheet2!$F$14:$F$17</c:f>
              <c:numCache>
                <c:formatCode>General</c:formatCode>
                <c:ptCount val="4"/>
                <c:pt idx="0">
                  <c:v>20.791</c:v>
                </c:pt>
                <c:pt idx="1">
                  <c:v>20.79</c:v>
                </c:pt>
                <c:pt idx="2">
                  <c:v>20.79</c:v>
                </c:pt>
                <c:pt idx="3">
                  <c:v>20.789000000000001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D9-4EDC-AFB3-273B28A3C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199455"/>
        <c:axId val="2132077455"/>
      </c:scatterChart>
      <c:valAx>
        <c:axId val="212419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77455"/>
        <c:crosses val="autoZero"/>
        <c:crossBetween val="midCat"/>
      </c:valAx>
      <c:valAx>
        <c:axId val="213207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19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504825</xdr:colOff>
      <xdr:row>2</xdr:row>
      <xdr:rowOff>133350</xdr:rowOff>
    </xdr:from>
    <xdr:to>
      <xdr:col>10</xdr:col>
      <xdr:colOff>9525</xdr:colOff>
      <xdr:row>17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379665-F5C9-47D7-938B-8792DE774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142875</xdr:rowOff>
    </xdr:from>
    <xdr:to>
      <xdr:col>14</xdr:col>
      <xdr:colOff>114300</xdr:colOff>
      <xdr:row>15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17CE75-9BF6-47AF-969B-F5F4183C82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907596</xdr:colOff>
      <xdr:row>20</xdr:row>
      <xdr:rowOff>133350</xdr:rowOff>
    </xdr:from>
    <xdr:to>
      <xdr:col>12</xdr:col>
      <xdr:colOff>246289</xdr:colOff>
      <xdr:row>35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25AD83-CC84-43CE-BBA4-33821EA8FB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81644</xdr:colOff>
      <xdr:row>5</xdr:row>
      <xdr:rowOff>148318</xdr:rowOff>
    </xdr:from>
    <xdr:to>
      <xdr:col>21</xdr:col>
      <xdr:colOff>372836</xdr:colOff>
      <xdr:row>20</xdr:row>
      <xdr:rowOff>34018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0E5257-5982-4092-A1D0-E7A58D4A6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13</xdr:row>
      <xdr:rowOff>104775</xdr:rowOff>
    </xdr:from>
    <xdr:to>
      <xdr:col>21</xdr:col>
      <xdr:colOff>291192</xdr:colOff>
      <xdr:row>27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315E1AC-E1ED-4AB7-B715-5AE841EF8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571500</xdr:colOff>
      <xdr:row>27</xdr:row>
      <xdr:rowOff>9525</xdr:rowOff>
    </xdr:from>
    <xdr:to>
      <xdr:col>22</xdr:col>
      <xdr:colOff>253092</xdr:colOff>
      <xdr:row>41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9704223-B90A-4204-8C0D-21346575A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5"/>
  <sheetViews>
    <sheetView workbookViewId="0">
      <selection activeCell="C5" sqref="C5"/>
    </sheetView>
  </sheetViews>
  <sheetFormatPr defaultRowHeight="15" x14ac:dyDescent="0.25"/>
  <cols>
    <col min="2" max="2" width="16.5703125" customWidth="1"/>
    <col min="3" max="3" width="12" bestFit="1" customWidth="1"/>
  </cols>
  <sheetData>
    <row r="1" spans="1:2" x14ac:dyDescent="0.25">
      <c r="A1">
        <v>1.02140672086916</v>
      </c>
      <c r="B1">
        <v>34539.301952841</v>
      </c>
    </row>
    <row r="2" spans="1:2" x14ac:dyDescent="0.25">
      <c r="A2">
        <v>1.06734489722046</v>
      </c>
      <c r="B2">
        <v>28094.4483400932</v>
      </c>
    </row>
    <row r="3" spans="1:2" x14ac:dyDescent="0.25">
      <c r="A3">
        <v>1.1153491614517199</v>
      </c>
      <c r="B3">
        <v>22359.514324405402</v>
      </c>
    </row>
    <row r="4" spans="1:2" x14ac:dyDescent="0.25">
      <c r="A4">
        <v>1.1655124366928</v>
      </c>
      <c r="B4">
        <v>17850.746376620998</v>
      </c>
    </row>
    <row r="5" spans="1:2" x14ac:dyDescent="0.25">
      <c r="A5">
        <v>1.21793182532858</v>
      </c>
      <c r="B5">
        <v>14280.7767821458</v>
      </c>
    </row>
    <row r="6" spans="1:2" x14ac:dyDescent="0.25">
      <c r="A6">
        <v>1.2727087969625599</v>
      </c>
      <c r="B6">
        <v>11377.436149183801</v>
      </c>
    </row>
    <row r="7" spans="1:2" x14ac:dyDescent="0.25">
      <c r="A7">
        <v>1.32994938483433</v>
      </c>
      <c r="B7">
        <v>9083.1904561362007</v>
      </c>
    </row>
    <row r="8" spans="1:2" x14ac:dyDescent="0.25">
      <c r="A8">
        <v>1.3897643910708699</v>
      </c>
      <c r="B8">
        <v>7251.5765222169503</v>
      </c>
    </row>
    <row r="9" spans="1:2" x14ac:dyDescent="0.25">
      <c r="A9">
        <v>1.45226960116921</v>
      </c>
      <c r="B9">
        <v>5789.3052349291802</v>
      </c>
    </row>
    <row r="10" spans="1:2" x14ac:dyDescent="0.25">
      <c r="A10">
        <v>1.51758600812547</v>
      </c>
      <c r="B10">
        <v>4626.6982961425601</v>
      </c>
    </row>
    <row r="11" spans="1:2" x14ac:dyDescent="0.25">
      <c r="A11">
        <v>1.5858400466442499</v>
      </c>
      <c r="B11">
        <v>3686.0715105995901</v>
      </c>
    </row>
    <row r="12" spans="1:2" x14ac:dyDescent="0.25">
      <c r="A12">
        <v>1.65716383788161</v>
      </c>
      <c r="B12">
        <v>2948.8943114917302</v>
      </c>
    </row>
    <row r="13" spans="1:2" x14ac:dyDescent="0.25">
      <c r="A13">
        <v>1.73169544519553</v>
      </c>
      <c r="B13">
        <v>2349.3719740535898</v>
      </c>
    </row>
    <row r="14" spans="1:2" x14ac:dyDescent="0.25">
      <c r="A14">
        <v>1.8095791413987901</v>
      </c>
      <c r="B14">
        <v>1875.62406967833</v>
      </c>
    </row>
    <row r="15" spans="1:2" x14ac:dyDescent="0.25">
      <c r="A15">
        <v>1.89096568803174</v>
      </c>
      <c r="B15">
        <v>1500.5181352739701</v>
      </c>
    </row>
    <row r="16" spans="1:2" x14ac:dyDescent="0.25">
      <c r="A16">
        <v>1.97601262719536</v>
      </c>
      <c r="B16">
        <v>1202.92385573718</v>
      </c>
    </row>
    <row r="17" spans="1:2" x14ac:dyDescent="0.25">
      <c r="A17">
        <v>2.0648845865097298</v>
      </c>
      <c r="B17">
        <v>1038.0925245880901</v>
      </c>
    </row>
    <row r="18" spans="1:2" x14ac:dyDescent="0.25">
      <c r="A18">
        <v>2.15775359778808</v>
      </c>
      <c r="B18">
        <v>940.62772343286804</v>
      </c>
    </row>
    <row r="19" spans="1:2" x14ac:dyDescent="0.25">
      <c r="A19">
        <v>2.2547994300433301</v>
      </c>
      <c r="B19">
        <v>849.66421821967799</v>
      </c>
    </row>
    <row r="20" spans="1:2" x14ac:dyDescent="0.25">
      <c r="A20">
        <v>2.35620993747176</v>
      </c>
      <c r="B20">
        <v>768.29428495011496</v>
      </c>
    </row>
    <row r="21" spans="1:2" x14ac:dyDescent="0.25">
      <c r="A21">
        <v>2.46218142308738</v>
      </c>
      <c r="B21">
        <v>696.16039713402802</v>
      </c>
    </row>
    <row r="22" spans="1:2" x14ac:dyDescent="0.25">
      <c r="A22">
        <v>2.5729190187108499</v>
      </c>
      <c r="B22">
        <v>630.14472619995195</v>
      </c>
    </row>
    <row r="23" spans="1:2" x14ac:dyDescent="0.25">
      <c r="A23">
        <v>2.6886370820486198</v>
      </c>
      <c r="B23">
        <v>570.98147342297898</v>
      </c>
    </row>
    <row r="24" spans="1:2" x14ac:dyDescent="0.25">
      <c r="A24">
        <v>2.8095596116308799</v>
      </c>
      <c r="B24">
        <v>516.83630053735601</v>
      </c>
    </row>
    <row r="25" spans="1:2" x14ac:dyDescent="0.25">
      <c r="A25">
        <v>2.9359206804113702</v>
      </c>
      <c r="B25">
        <v>467.340353333493</v>
      </c>
    </row>
    <row r="26" spans="1:2" x14ac:dyDescent="0.25">
      <c r="A26">
        <v>3.0679648888687199</v>
      </c>
      <c r="B26">
        <v>402.46653146153102</v>
      </c>
    </row>
    <row r="27" spans="1:2" x14ac:dyDescent="0.25">
      <c r="A27">
        <v>3.20594783848603</v>
      </c>
      <c r="B27">
        <v>327.70830096473401</v>
      </c>
    </row>
    <row r="28" spans="1:2" x14ac:dyDescent="0.25">
      <c r="A28">
        <v>3.3501366265254702</v>
      </c>
      <c r="B28">
        <v>265.73101016294203</v>
      </c>
    </row>
    <row r="29" spans="1:2" x14ac:dyDescent="0.25">
      <c r="A29">
        <v>3.50081036305555</v>
      </c>
      <c r="B29">
        <v>215.69881213988799</v>
      </c>
    </row>
    <row r="30" spans="1:2" x14ac:dyDescent="0.25">
      <c r="A30">
        <v>3.6582607112319199</v>
      </c>
      <c r="B30">
        <v>175.08674478763101</v>
      </c>
    </row>
    <row r="31" spans="1:2" x14ac:dyDescent="0.25">
      <c r="A31">
        <v>3.8227924518774299</v>
      </c>
      <c r="B31">
        <v>141.82648700206499</v>
      </c>
    </row>
    <row r="32" spans="1:2" x14ac:dyDescent="0.25">
      <c r="A32">
        <v>3.9947240734545399</v>
      </c>
      <c r="B32">
        <v>116.203532405261</v>
      </c>
    </row>
    <row r="33" spans="1:2" x14ac:dyDescent="0.25">
      <c r="A33">
        <v>4.17438838857184</v>
      </c>
      <c r="B33">
        <v>102.383891535464</v>
      </c>
    </row>
    <row r="34" spans="1:2" x14ac:dyDescent="0.25">
      <c r="A34">
        <v>4.3621331782182997</v>
      </c>
      <c r="B34">
        <v>91.908753124205106</v>
      </c>
    </row>
    <row r="35" spans="1:2" x14ac:dyDescent="0.25">
      <c r="A35">
        <v>4.5583218649721502</v>
      </c>
      <c r="B35">
        <v>82.676779934683196</v>
      </c>
    </row>
    <row r="36" spans="1:2" x14ac:dyDescent="0.25">
      <c r="A36">
        <v>4.76333421648763</v>
      </c>
      <c r="B36">
        <v>74.294987495320797</v>
      </c>
    </row>
    <row r="37" spans="1:2" x14ac:dyDescent="0.25">
      <c r="A37">
        <v>4.9775670806213403</v>
      </c>
      <c r="B37">
        <v>66.693691377300894</v>
      </c>
    </row>
    <row r="38" spans="1:2" x14ac:dyDescent="0.25">
      <c r="A38">
        <v>5.2014351536211603</v>
      </c>
      <c r="B38">
        <v>61.827584666726501</v>
      </c>
    </row>
    <row r="39" spans="1:2" x14ac:dyDescent="0.25">
      <c r="A39">
        <v>5.4353717828647996</v>
      </c>
      <c r="B39">
        <v>57.794373041093799</v>
      </c>
    </row>
    <row r="40" spans="1:2" x14ac:dyDescent="0.25">
      <c r="A40">
        <v>5.6798298057018597</v>
      </c>
      <c r="B40">
        <v>54.136511950513203</v>
      </c>
    </row>
    <row r="41" spans="1:2" x14ac:dyDescent="0.25">
      <c r="A41">
        <v>5.9352824260230896</v>
      </c>
      <c r="B41">
        <v>50.447702228892901</v>
      </c>
    </row>
    <row r="42" spans="1:2" x14ac:dyDescent="0.25">
      <c r="A42">
        <v>6.2022241302537502</v>
      </c>
      <c r="B42">
        <v>46.284089741502001</v>
      </c>
    </row>
    <row r="43" spans="1:2" x14ac:dyDescent="0.25">
      <c r="A43">
        <v>6.4811716445441201</v>
      </c>
      <c r="B43">
        <v>42.156741249590198</v>
      </c>
    </row>
    <row r="44" spans="1:2" x14ac:dyDescent="0.25">
      <c r="A44">
        <v>6.7726649350100301</v>
      </c>
      <c r="B44">
        <v>38.357617012461297</v>
      </c>
    </row>
    <row r="45" spans="1:2" x14ac:dyDescent="0.25">
      <c r="A45">
        <v>7.0772682529596702</v>
      </c>
      <c r="B45">
        <v>34.792372823678498</v>
      </c>
    </row>
    <row r="46" spans="1:2" x14ac:dyDescent="0.25">
      <c r="A46">
        <v>7.39557122712975</v>
      </c>
      <c r="B46">
        <v>31.525774116281202</v>
      </c>
    </row>
    <row r="47" spans="1:2" x14ac:dyDescent="0.25">
      <c r="A47">
        <v>7.7281900050456001</v>
      </c>
      <c r="B47">
        <v>28.506640108863301</v>
      </c>
    </row>
    <row r="48" spans="1:2" x14ac:dyDescent="0.25">
      <c r="A48">
        <v>8.0757684457142602</v>
      </c>
      <c r="B48">
        <v>25.9107450107734</v>
      </c>
    </row>
    <row r="49" spans="1:2" x14ac:dyDescent="0.25">
      <c r="A49">
        <v>8.4389793659594794</v>
      </c>
      <c r="B49">
        <v>23.895924179093999</v>
      </c>
    </row>
    <row r="50" spans="1:2" x14ac:dyDescent="0.25">
      <c r="A50">
        <v>8.8185258428111304</v>
      </c>
      <c r="B50">
        <v>22.106496472116401</v>
      </c>
    </row>
    <row r="51" spans="1:2" x14ac:dyDescent="0.25">
      <c r="A51">
        <v>9.2151425744700806</v>
      </c>
      <c r="B51">
        <v>20.536143115965199</v>
      </c>
    </row>
    <row r="52" spans="1:2" x14ac:dyDescent="0.25">
      <c r="A52">
        <v>9.6295973024830399</v>
      </c>
      <c r="B52">
        <v>19.176592489649199</v>
      </c>
    </row>
    <row r="53" spans="1:2" x14ac:dyDescent="0.25">
      <c r="A53">
        <v>10.062692297880201</v>
      </c>
      <c r="B53">
        <v>17.9442550821834</v>
      </c>
    </row>
    <row r="54" spans="1:2" x14ac:dyDescent="0.25">
      <c r="A54">
        <v>10.5152659141529</v>
      </c>
      <c r="B54">
        <v>16.8959938208483</v>
      </c>
    </row>
    <row r="55" spans="1:2" x14ac:dyDescent="0.25">
      <c r="A55">
        <v>10.9881942100762</v>
      </c>
      <c r="B55">
        <v>15.958578576351099</v>
      </c>
    </row>
    <row r="56" spans="1:2" x14ac:dyDescent="0.25">
      <c r="A56">
        <v>11.482392645519599</v>
      </c>
      <c r="B56">
        <v>15.104491470399401</v>
      </c>
    </row>
    <row r="57" spans="1:2" x14ac:dyDescent="0.25">
      <c r="A57">
        <v>11.9988178535268</v>
      </c>
      <c r="B57">
        <v>14.3109587219103</v>
      </c>
    </row>
    <row r="58" spans="1:2" x14ac:dyDescent="0.25">
      <c r="A58">
        <v>12.538469492095899</v>
      </c>
      <c r="B58">
        <v>13.672159004143699</v>
      </c>
    </row>
    <row r="59" spans="1:2" x14ac:dyDescent="0.25">
      <c r="A59">
        <v>13.102392179243701</v>
      </c>
      <c r="B59">
        <v>13.034789864996901</v>
      </c>
    </row>
    <row r="60" spans="1:2" x14ac:dyDescent="0.25">
      <c r="A60">
        <v>13.6916775151008</v>
      </c>
      <c r="B60">
        <v>12.478829282422399</v>
      </c>
    </row>
    <row r="61" spans="1:2" x14ac:dyDescent="0.25">
      <c r="A61">
        <v>14.3074661949508</v>
      </c>
      <c r="B61">
        <v>11.971404079698299</v>
      </c>
    </row>
    <row r="62" spans="1:2" x14ac:dyDescent="0.25">
      <c r="A62">
        <v>14.9509502173045</v>
      </c>
      <c r="B62">
        <v>11.460799086804901</v>
      </c>
    </row>
    <row r="63" spans="1:2" x14ac:dyDescent="0.25">
      <c r="A63">
        <v>15.6233751912832</v>
      </c>
      <c r="B63">
        <v>10.9947699290703</v>
      </c>
    </row>
    <row r="64" spans="1:2" x14ac:dyDescent="0.25">
      <c r="A64">
        <v>16.326042747777301</v>
      </c>
      <c r="B64">
        <v>10.5476908614833</v>
      </c>
    </row>
    <row r="65" spans="1:2" x14ac:dyDescent="0.25">
      <c r="A65">
        <v>17.0603130590478</v>
      </c>
      <c r="B65">
        <v>10.160884502175</v>
      </c>
    </row>
    <row r="66" spans="1:2" x14ac:dyDescent="0.25">
      <c r="A66">
        <v>17.827607471647799</v>
      </c>
      <c r="B66">
        <v>9.7578352304261493</v>
      </c>
    </row>
    <row r="67" spans="1:2" x14ac:dyDescent="0.25">
      <c r="A67">
        <v>18.629411257761099</v>
      </c>
      <c r="B67">
        <v>9.3805038237095797</v>
      </c>
    </row>
    <row r="68" spans="1:2" x14ac:dyDescent="0.25">
      <c r="A68">
        <v>19.4672764902826</v>
      </c>
      <c r="B68">
        <v>9.0458838222062106</v>
      </c>
    </row>
    <row r="69" spans="1:2" x14ac:dyDescent="0.25">
      <c r="A69">
        <v>20.342825047207398</v>
      </c>
      <c r="B69">
        <v>8.7141519356782897</v>
      </c>
    </row>
    <row r="70" spans="1:2" x14ac:dyDescent="0.25">
      <c r="A70">
        <v>21.257751751142901</v>
      </c>
      <c r="B70">
        <v>8.3858778297159695</v>
      </c>
    </row>
    <row r="71" spans="1:2" x14ac:dyDescent="0.25">
      <c r="A71">
        <v>22.2138276500221</v>
      </c>
      <c r="B71">
        <v>8.1119549190068998</v>
      </c>
    </row>
    <row r="72" spans="1:2" x14ac:dyDescent="0.25">
      <c r="A72">
        <v>23.212903445368301</v>
      </c>
      <c r="B72">
        <v>7.8714489350302799</v>
      </c>
    </row>
    <row r="73" spans="1:2" x14ac:dyDescent="0.25">
      <c r="A73">
        <v>24.256913074746599</v>
      </c>
      <c r="B73">
        <v>7.70975017940005</v>
      </c>
    </row>
    <row r="74" spans="1:2" x14ac:dyDescent="0.25">
      <c r="A74">
        <v>25.347877455339098</v>
      </c>
      <c r="B74">
        <v>7.5749206118098096</v>
      </c>
    </row>
    <row r="75" spans="1:2" x14ac:dyDescent="0.25">
      <c r="A75">
        <v>26.487908395887299</v>
      </c>
      <c r="B75">
        <v>7.4193132710219203</v>
      </c>
    </row>
    <row r="76" spans="1:2" x14ac:dyDescent="0.25">
      <c r="A76">
        <v>27.679212684576601</v>
      </c>
      <c r="B76">
        <v>7.27444812484352</v>
      </c>
    </row>
    <row r="77" spans="1:2" x14ac:dyDescent="0.25">
      <c r="A77">
        <v>28.924096360775099</v>
      </c>
      <c r="B77">
        <v>7.1398175210193404</v>
      </c>
    </row>
    <row r="78" spans="1:2" x14ac:dyDescent="0.25">
      <c r="A78">
        <v>30.224969178894799</v>
      </c>
      <c r="B78">
        <v>6.9714092628703401</v>
      </c>
    </row>
    <row r="79" spans="1:2" x14ac:dyDescent="0.25">
      <c r="A79">
        <v>31.5843492730177</v>
      </c>
      <c r="B79">
        <v>6.84949194070877</v>
      </c>
    </row>
    <row r="80" spans="1:2" x14ac:dyDescent="0.25">
      <c r="A80">
        <v>33.004868031314501</v>
      </c>
      <c r="B80">
        <v>6.7157527906024796</v>
      </c>
    </row>
    <row r="81" spans="1:2" x14ac:dyDescent="0.25">
      <c r="A81">
        <v>34.489275189693103</v>
      </c>
      <c r="B81">
        <v>6.6879316482300997</v>
      </c>
    </row>
    <row r="82" spans="1:2" x14ac:dyDescent="0.25">
      <c r="A82">
        <v>36.040444154534697</v>
      </c>
      <c r="B82">
        <v>6.59830643712412</v>
      </c>
    </row>
    <row r="83" spans="1:2" x14ac:dyDescent="0.25">
      <c r="A83">
        <v>37.661377564823503</v>
      </c>
      <c r="B83">
        <v>6.5573470293494998</v>
      </c>
    </row>
    <row r="84" spans="1:2" x14ac:dyDescent="0.25">
      <c r="A84">
        <v>39.355213104434803</v>
      </c>
      <c r="B84">
        <v>6.5573470293494998</v>
      </c>
    </row>
    <row r="85" spans="1:2" x14ac:dyDescent="0.25">
      <c r="A85">
        <v>41.125229575832599</v>
      </c>
      <c r="B85">
        <v>6.4093258817373204</v>
      </c>
    </row>
    <row r="86" spans="1:2" x14ac:dyDescent="0.25">
      <c r="A86">
        <v>42.974853246934899</v>
      </c>
      <c r="B86">
        <v>6.4093258817373204</v>
      </c>
    </row>
    <row r="87" spans="1:2" x14ac:dyDescent="0.25">
      <c r="A87">
        <v>44.907664483431702</v>
      </c>
      <c r="B87">
        <v>6.4093258817373204</v>
      </c>
    </row>
    <row r="88" spans="1:2" x14ac:dyDescent="0.25">
      <c r="A88">
        <v>46.927404679393597</v>
      </c>
      <c r="B88">
        <v>6.35633244262032</v>
      </c>
    </row>
    <row r="89" spans="1:2" x14ac:dyDescent="0.25">
      <c r="A89">
        <v>49.037983499588499</v>
      </c>
      <c r="B89">
        <v>6.3365730610888198</v>
      </c>
    </row>
    <row r="90" spans="1:2" x14ac:dyDescent="0.25">
      <c r="A90">
        <v>51.2434864475225</v>
      </c>
      <c r="B90">
        <v>6.3168751038396396</v>
      </c>
    </row>
    <row r="91" spans="1:2" x14ac:dyDescent="0.25">
      <c r="A91">
        <v>53.5481827738585</v>
      </c>
      <c r="B91">
        <v>6.2646460640932196</v>
      </c>
    </row>
    <row r="92" spans="1:2" x14ac:dyDescent="0.25">
      <c r="A92">
        <v>55.956533740517798</v>
      </c>
      <c r="B92">
        <v>6.2646460640932196</v>
      </c>
    </row>
    <row r="93" spans="1:2" x14ac:dyDescent="0.25">
      <c r="A93">
        <v>58.473201256463199</v>
      </c>
      <c r="B93">
        <v>6.2646460640932196</v>
      </c>
    </row>
    <row r="94" spans="1:2" x14ac:dyDescent="0.25">
      <c r="A94">
        <v>61.1030569018805</v>
      </c>
      <c r="B94">
        <v>6.2646460640932196</v>
      </c>
    </row>
    <row r="95" spans="1:2" x14ac:dyDescent="0.25">
      <c r="A95">
        <v>63.851191358225101</v>
      </c>
      <c r="B95">
        <v>6.2646460640932196</v>
      </c>
    </row>
    <row r="96" spans="1:2" x14ac:dyDescent="0.25">
      <c r="A96">
        <v>66.722924262389995</v>
      </c>
      <c r="B96">
        <v>6.1935355167537898</v>
      </c>
    </row>
    <row r="97" spans="1:2" x14ac:dyDescent="0.25">
      <c r="A97">
        <v>69.723814504067903</v>
      </c>
      <c r="B97">
        <v>6.1232321514787502</v>
      </c>
    </row>
    <row r="98" spans="1:2" x14ac:dyDescent="0.25">
      <c r="A98">
        <v>72.859670986241994</v>
      </c>
      <c r="B98">
        <v>6.1232321514787502</v>
      </c>
    </row>
    <row r="99" spans="1:2" x14ac:dyDescent="0.25">
      <c r="A99">
        <v>76.136563869633207</v>
      </c>
      <c r="B99">
        <v>6.05372680587368</v>
      </c>
    </row>
    <row r="100" spans="1:2" x14ac:dyDescent="0.25">
      <c r="A100">
        <v>79.560836322872603</v>
      </c>
      <c r="B100">
        <v>5.9850104215472797</v>
      </c>
    </row>
    <row r="101" spans="1:2" x14ac:dyDescent="0.25">
      <c r="A101">
        <v>83.139116801140204</v>
      </c>
      <c r="B101">
        <v>5.8986801460382203</v>
      </c>
    </row>
    <row r="102" spans="1:2" x14ac:dyDescent="0.25">
      <c r="A102">
        <v>86.878331877043394</v>
      </c>
      <c r="B102">
        <v>5.8377791221509403</v>
      </c>
    </row>
    <row r="103" spans="1:2" x14ac:dyDescent="0.25">
      <c r="A103">
        <v>90.785719648565703</v>
      </c>
      <c r="B103">
        <v>5.7178569035750098</v>
      </c>
    </row>
    <row r="104" spans="1:2" x14ac:dyDescent="0.25">
      <c r="A104">
        <v>94.868843750047304</v>
      </c>
      <c r="B104">
        <v>5.6178619418819897</v>
      </c>
    </row>
    <row r="105" spans="1:2" x14ac:dyDescent="0.25">
      <c r="A105">
        <v>98.542664650796596</v>
      </c>
      <c r="B105">
        <v>5.5174679942655303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FC20-2F6E-46EC-B0C1-4E3E26E26754}">
  <dimension ref="A1:D48"/>
  <sheetViews>
    <sheetView workbookViewId="0">
      <selection activeCell="D3" sqref="D3"/>
    </sheetView>
  </sheetViews>
  <sheetFormatPr defaultRowHeight="15" x14ac:dyDescent="0.25"/>
  <cols>
    <col min="4" max="4" width="15.7109375" bestFit="1" customWidth="1"/>
  </cols>
  <sheetData>
    <row r="1" spans="1:4" x14ac:dyDescent="0.25">
      <c r="A1">
        <v>524.16771116042298</v>
      </c>
      <c r="B1">
        <v>1548.24250560276</v>
      </c>
      <c r="C1" t="s">
        <v>1</v>
      </c>
      <c r="D1" s="1">
        <f>SLOPE(B1:B48,A1:A48)</f>
        <v>3.232974825741651E-2</v>
      </c>
    </row>
    <row r="2" spans="1:4" x14ac:dyDescent="0.25">
      <c r="A2">
        <v>528.78465678955297</v>
      </c>
      <c r="B2">
        <v>1548.3601082832199</v>
      </c>
      <c r="C2" t="s">
        <v>0</v>
      </c>
      <c r="D2" s="1">
        <f>INTERCEPT(B1:B48,A1:A48)</f>
        <v>1531.3527426563849</v>
      </c>
    </row>
    <row r="3" spans="1:4" x14ac:dyDescent="0.25">
      <c r="A3">
        <v>533.40160241868205</v>
      </c>
      <c r="B3">
        <v>1548.5953136441201</v>
      </c>
    </row>
    <row r="4" spans="1:4" x14ac:dyDescent="0.25">
      <c r="A4">
        <v>538.01854804781203</v>
      </c>
      <c r="B4">
        <v>1548.6658752523999</v>
      </c>
    </row>
    <row r="5" spans="1:4" x14ac:dyDescent="0.25">
      <c r="A5">
        <v>542.63549367694202</v>
      </c>
      <c r="B5">
        <v>1548.9716422215799</v>
      </c>
    </row>
    <row r="6" spans="1:4" x14ac:dyDescent="0.25">
      <c r="A6">
        <v>546.20313348127002</v>
      </c>
      <c r="B6">
        <v>1549.1558864209501</v>
      </c>
    </row>
    <row r="7" spans="1:4" x14ac:dyDescent="0.25">
      <c r="A7">
        <v>559.42438687377796</v>
      </c>
      <c r="B7">
        <v>1549.60669669603</v>
      </c>
    </row>
    <row r="8" spans="1:4" x14ac:dyDescent="0.25">
      <c r="A8">
        <v>564.04133250290704</v>
      </c>
      <c r="B8">
        <v>1549.87326277172</v>
      </c>
    </row>
    <row r="9" spans="1:4" x14ac:dyDescent="0.25">
      <c r="A9">
        <v>568.65827813203703</v>
      </c>
      <c r="B9">
        <v>1549.65373776821</v>
      </c>
    </row>
    <row r="10" spans="1:4" x14ac:dyDescent="0.25">
      <c r="A10">
        <v>573.27522376116701</v>
      </c>
      <c r="B10">
        <v>1549.88894312911</v>
      </c>
    </row>
    <row r="11" spans="1:4" x14ac:dyDescent="0.25">
      <c r="A11">
        <v>577.892169390297</v>
      </c>
      <c r="B11">
        <v>1549.95950473739</v>
      </c>
    </row>
    <row r="12" spans="1:4" x14ac:dyDescent="0.25">
      <c r="A12">
        <v>581.45980919462397</v>
      </c>
      <c r="B12">
        <v>1550.14766902611</v>
      </c>
    </row>
    <row r="13" spans="1:4" x14ac:dyDescent="0.25">
      <c r="A13">
        <v>594.68106258713203</v>
      </c>
      <c r="B13">
        <v>1550.5945592118401</v>
      </c>
    </row>
    <row r="14" spans="1:4" x14ac:dyDescent="0.25">
      <c r="A14">
        <v>599.29800821626202</v>
      </c>
      <c r="B14">
        <v>1550.6651208201099</v>
      </c>
    </row>
    <row r="15" spans="1:4" x14ac:dyDescent="0.25">
      <c r="A15">
        <v>603.91495384539201</v>
      </c>
      <c r="B15">
        <v>1550.6651208201099</v>
      </c>
    </row>
    <row r="16" spans="1:4" x14ac:dyDescent="0.25">
      <c r="A16">
        <v>608.53189947452199</v>
      </c>
      <c r="B16">
        <v>1551.06496993365</v>
      </c>
    </row>
    <row r="17" spans="1:2" x14ac:dyDescent="0.25">
      <c r="A17">
        <v>613.14884510365096</v>
      </c>
      <c r="B17">
        <v>1551.1825726141001</v>
      </c>
    </row>
    <row r="18" spans="1:2" x14ac:dyDescent="0.25">
      <c r="A18">
        <v>616.71648490797895</v>
      </c>
      <c r="B18">
        <v>1551.35505654543</v>
      </c>
    </row>
    <row r="19" spans="1:2" x14ac:dyDescent="0.25">
      <c r="A19">
        <v>630.35746063040801</v>
      </c>
      <c r="B19">
        <v>1551.7059045421199</v>
      </c>
    </row>
    <row r="20" spans="1:2" x14ac:dyDescent="0.25">
      <c r="A20">
        <v>634.974406259538</v>
      </c>
      <c r="B20">
        <v>1551.8411476246399</v>
      </c>
    </row>
    <row r="21" spans="1:2" x14ac:dyDescent="0.25">
      <c r="A21">
        <v>639.59135188866696</v>
      </c>
      <c r="B21">
        <v>1551.88818869682</v>
      </c>
    </row>
    <row r="22" spans="1:2" x14ac:dyDescent="0.25">
      <c r="A22">
        <v>644.20829751779695</v>
      </c>
      <c r="B22">
        <v>1551.98227084119</v>
      </c>
    </row>
    <row r="23" spans="1:2" x14ac:dyDescent="0.25">
      <c r="A23">
        <v>648.82524314692705</v>
      </c>
      <c r="B23">
        <v>1552.0763529855501</v>
      </c>
    </row>
    <row r="24" spans="1:2" x14ac:dyDescent="0.25">
      <c r="A24">
        <v>652.39288295125402</v>
      </c>
      <c r="B24">
        <v>1552.3037181677601</v>
      </c>
    </row>
    <row r="25" spans="1:2" x14ac:dyDescent="0.25">
      <c r="A25">
        <v>665.61413634376299</v>
      </c>
      <c r="B25">
        <v>1552.87605121263</v>
      </c>
    </row>
    <row r="26" spans="1:2" x14ac:dyDescent="0.25">
      <c r="A26">
        <v>670.23108197289196</v>
      </c>
      <c r="B26">
        <v>1552.9936538930899</v>
      </c>
    </row>
    <row r="27" spans="1:2" x14ac:dyDescent="0.25">
      <c r="A27">
        <v>674.84802760202194</v>
      </c>
      <c r="B27">
        <v>1553.13477710963</v>
      </c>
    </row>
    <row r="28" spans="1:2" x14ac:dyDescent="0.25">
      <c r="A28">
        <v>679.46497323115204</v>
      </c>
      <c r="B28">
        <v>1553.51698582111</v>
      </c>
    </row>
    <row r="29" spans="1:2" x14ac:dyDescent="0.25">
      <c r="A29">
        <v>684.08191886028203</v>
      </c>
      <c r="B29">
        <v>1553.7051501098299</v>
      </c>
    </row>
    <row r="30" spans="1:2" x14ac:dyDescent="0.25">
      <c r="A30">
        <v>687.649558664609</v>
      </c>
      <c r="B30">
        <v>1553.82527284772</v>
      </c>
    </row>
    <row r="31" spans="1:2" x14ac:dyDescent="0.25">
      <c r="A31">
        <v>700.87081205711695</v>
      </c>
      <c r="B31">
        <v>1554.0599181958701</v>
      </c>
    </row>
    <row r="32" spans="1:2" x14ac:dyDescent="0.25">
      <c r="A32">
        <v>705.48775768624705</v>
      </c>
      <c r="B32">
        <v>1554.1461601615299</v>
      </c>
    </row>
    <row r="33" spans="1:2" x14ac:dyDescent="0.25">
      <c r="A33">
        <v>710.10470331537704</v>
      </c>
      <c r="B33">
        <v>1554.4284065946199</v>
      </c>
    </row>
    <row r="34" spans="1:2" x14ac:dyDescent="0.25">
      <c r="A34">
        <v>714.72164894450702</v>
      </c>
      <c r="B34">
        <v>1554.54600927507</v>
      </c>
    </row>
    <row r="35" spans="1:2" x14ac:dyDescent="0.25">
      <c r="A35">
        <v>719.33859457363599</v>
      </c>
      <c r="B35">
        <v>1554.54600927507</v>
      </c>
    </row>
    <row r="36" spans="1:2" x14ac:dyDescent="0.25">
      <c r="A36">
        <v>723.11609554292397</v>
      </c>
      <c r="B36">
        <v>1554.8786568569301</v>
      </c>
    </row>
    <row r="37" spans="1:2" x14ac:dyDescent="0.25">
      <c r="A37">
        <v>736.54721010039304</v>
      </c>
      <c r="B37">
        <v>1555.18106374952</v>
      </c>
    </row>
    <row r="38" spans="1:2" x14ac:dyDescent="0.25">
      <c r="A38">
        <v>741.16415572952303</v>
      </c>
      <c r="B38">
        <v>1555.3221869660699</v>
      </c>
    </row>
    <row r="39" spans="1:2" x14ac:dyDescent="0.25">
      <c r="A39">
        <v>745.78110135865199</v>
      </c>
      <c r="B39">
        <v>1555.3221869660699</v>
      </c>
    </row>
    <row r="40" spans="1:2" x14ac:dyDescent="0.25">
      <c r="A40">
        <v>750.39804698778198</v>
      </c>
      <c r="B40">
        <v>1555.5573923269701</v>
      </c>
    </row>
    <row r="41" spans="1:2" x14ac:dyDescent="0.25">
      <c r="A41">
        <v>755.01499261691197</v>
      </c>
      <c r="B41">
        <v>1555.7925976878801</v>
      </c>
    </row>
    <row r="42" spans="1:2" x14ac:dyDescent="0.25">
      <c r="A42">
        <v>758.58263242123996</v>
      </c>
      <c r="B42">
        <v>1555.8396387600601</v>
      </c>
    </row>
    <row r="43" spans="1:2" x14ac:dyDescent="0.25">
      <c r="A43">
        <v>771.80388581374802</v>
      </c>
      <c r="B43">
        <v>1556.3570905540601</v>
      </c>
    </row>
    <row r="44" spans="1:2" x14ac:dyDescent="0.25">
      <c r="A44">
        <v>776.42083144287699</v>
      </c>
      <c r="B44">
        <v>1556.3570905540601</v>
      </c>
    </row>
    <row r="45" spans="1:2" x14ac:dyDescent="0.25">
      <c r="A45">
        <v>781.03777707200697</v>
      </c>
      <c r="B45">
        <v>1556.52173430669</v>
      </c>
    </row>
    <row r="46" spans="1:2" x14ac:dyDescent="0.25">
      <c r="A46">
        <v>785.65472270113696</v>
      </c>
      <c r="B46">
        <v>1556.87454234805</v>
      </c>
    </row>
    <row r="47" spans="1:2" x14ac:dyDescent="0.25">
      <c r="A47">
        <v>790.27166833026695</v>
      </c>
      <c r="B47">
        <v>1556.89806288415</v>
      </c>
    </row>
    <row r="48" spans="1:2" x14ac:dyDescent="0.25">
      <c r="A48">
        <v>793.62944696963405</v>
      </c>
      <c r="B48">
        <v>1556.9262875274501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E7E54-7194-4E30-9A55-E628476E3A9E}">
  <dimension ref="B2:F36"/>
  <sheetViews>
    <sheetView tabSelected="1" zoomScaleNormal="100" workbookViewId="0">
      <selection activeCell="G20" sqref="G20"/>
    </sheetView>
  </sheetViews>
  <sheetFormatPr defaultRowHeight="15" x14ac:dyDescent="0.25"/>
  <cols>
    <col min="3" max="3" width="13" customWidth="1"/>
    <col min="4" max="4" width="14.140625" customWidth="1"/>
    <col min="5" max="5" width="14.5703125" customWidth="1"/>
  </cols>
  <sheetData>
    <row r="2" spans="2:6" x14ac:dyDescent="0.25">
      <c r="B2" t="s">
        <v>2</v>
      </c>
      <c r="C2" t="s">
        <v>3</v>
      </c>
      <c r="D2" t="s">
        <v>4</v>
      </c>
      <c r="E2" t="s">
        <v>5</v>
      </c>
      <c r="F2" t="s">
        <v>6</v>
      </c>
    </row>
    <row r="3" spans="2:6" x14ac:dyDescent="0.25">
      <c r="B3">
        <v>295</v>
      </c>
      <c r="C3">
        <v>1.6369</v>
      </c>
      <c r="D3">
        <v>0.52158000000000004</v>
      </c>
      <c r="E3">
        <v>1.7587999999999999E-2</v>
      </c>
      <c r="F3">
        <v>20.835999999999999</v>
      </c>
    </row>
    <row r="4" spans="2:6" x14ac:dyDescent="0.25">
      <c r="B4">
        <v>345</v>
      </c>
      <c r="C4">
        <v>1.3991</v>
      </c>
      <c r="D4">
        <v>0.52119000000000004</v>
      </c>
      <c r="E4">
        <v>2.009E-2</v>
      </c>
      <c r="F4">
        <v>20.82</v>
      </c>
    </row>
    <row r="5" spans="2:6" x14ac:dyDescent="0.25">
      <c r="B5">
        <v>395</v>
      </c>
      <c r="C5">
        <v>1.2218</v>
      </c>
      <c r="D5">
        <v>0.52095000000000002</v>
      </c>
      <c r="E5">
        <v>2.2294000000000001E-2</v>
      </c>
      <c r="F5">
        <v>20.811</v>
      </c>
    </row>
    <row r="6" spans="2:6" x14ac:dyDescent="0.25">
      <c r="B6">
        <v>445</v>
      </c>
      <c r="C6">
        <v>1.0843</v>
      </c>
      <c r="D6">
        <v>0.52080000000000004</v>
      </c>
      <c r="E6">
        <v>2.4461E-2</v>
      </c>
      <c r="F6">
        <v>20.805</v>
      </c>
    </row>
    <row r="7" spans="2:6" x14ac:dyDescent="0.25">
      <c r="B7">
        <v>495</v>
      </c>
      <c r="C7">
        <v>0.97474000000000005</v>
      </c>
      <c r="D7">
        <v>0.52070000000000005</v>
      </c>
      <c r="E7">
        <v>2.6525E-2</v>
      </c>
      <c r="F7">
        <v>20.800999999999998</v>
      </c>
    </row>
    <row r="8" spans="2:6" x14ac:dyDescent="0.25">
      <c r="B8">
        <v>545</v>
      </c>
      <c r="C8">
        <v>0.88527999999999996</v>
      </c>
      <c r="D8">
        <v>0.52063000000000004</v>
      </c>
      <c r="E8">
        <v>2.8497000000000001E-2</v>
      </c>
      <c r="F8">
        <v>20.797999999999998</v>
      </c>
    </row>
    <row r="9" spans="2:6" x14ac:dyDescent="0.25">
      <c r="B9">
        <v>595</v>
      </c>
      <c r="C9">
        <v>0.81086000000000003</v>
      </c>
      <c r="D9">
        <v>0.52056999999999998</v>
      </c>
      <c r="E9">
        <v>3.0387999999999998E-2</v>
      </c>
      <c r="F9">
        <v>20.795999999999999</v>
      </c>
    </row>
    <row r="10" spans="2:6" x14ac:dyDescent="0.25">
      <c r="B10">
        <v>645</v>
      </c>
      <c r="C10">
        <v>0.74799000000000004</v>
      </c>
      <c r="D10">
        <v>0.52053000000000005</v>
      </c>
      <c r="E10">
        <v>3.2207E-2</v>
      </c>
      <c r="F10">
        <v>20.794</v>
      </c>
    </row>
    <row r="11" spans="2:6" x14ac:dyDescent="0.25">
      <c r="B11">
        <v>695</v>
      </c>
      <c r="C11">
        <v>0.69416999999999995</v>
      </c>
      <c r="D11">
        <v>0.52049999999999996</v>
      </c>
      <c r="E11">
        <v>3.3960999999999998E-2</v>
      </c>
      <c r="F11">
        <v>20.792999999999999</v>
      </c>
    </row>
    <row r="12" spans="2:6" x14ac:dyDescent="0.25">
      <c r="B12">
        <v>745</v>
      </c>
      <c r="C12">
        <v>0.64758000000000004</v>
      </c>
      <c r="D12">
        <v>0.52048000000000005</v>
      </c>
      <c r="E12">
        <v>3.5657000000000001E-2</v>
      </c>
      <c r="F12">
        <v>20.792000000000002</v>
      </c>
    </row>
    <row r="13" spans="2:6" x14ac:dyDescent="0.25">
      <c r="B13">
        <v>795</v>
      </c>
      <c r="C13">
        <v>0.60685</v>
      </c>
      <c r="D13">
        <v>0.52046000000000003</v>
      </c>
      <c r="E13">
        <v>3.7301000000000001E-2</v>
      </c>
      <c r="F13">
        <v>20.791</v>
      </c>
    </row>
    <row r="14" spans="2:6" x14ac:dyDescent="0.25">
      <c r="B14">
        <v>845</v>
      </c>
      <c r="C14">
        <v>0.57094999999999996</v>
      </c>
      <c r="D14">
        <v>0.52044000000000001</v>
      </c>
      <c r="E14">
        <v>3.8896E-2</v>
      </c>
      <c r="F14">
        <v>20.791</v>
      </c>
    </row>
    <row r="15" spans="2:6" x14ac:dyDescent="0.25">
      <c r="B15">
        <v>895</v>
      </c>
      <c r="C15">
        <v>0.53905000000000003</v>
      </c>
      <c r="D15">
        <v>0.52042999999999995</v>
      </c>
      <c r="E15">
        <v>4.0447999999999998E-2</v>
      </c>
      <c r="F15">
        <v>20.79</v>
      </c>
    </row>
    <row r="16" spans="2:6" x14ac:dyDescent="0.25">
      <c r="B16">
        <v>945</v>
      </c>
      <c r="C16">
        <v>0.51053000000000004</v>
      </c>
      <c r="D16">
        <v>0.52041999999999999</v>
      </c>
      <c r="E16">
        <v>4.1959999999999997E-2</v>
      </c>
      <c r="F16">
        <v>20.79</v>
      </c>
    </row>
    <row r="17" spans="2:6" x14ac:dyDescent="0.25">
      <c r="B17">
        <v>995</v>
      </c>
      <c r="C17">
        <v>0.48487999999999998</v>
      </c>
      <c r="D17">
        <v>0.52041000000000004</v>
      </c>
      <c r="E17">
        <v>4.3436000000000002E-2</v>
      </c>
      <c r="F17">
        <v>20.789000000000001</v>
      </c>
    </row>
    <row r="18" spans="2:6" x14ac:dyDescent="0.25">
      <c r="B18" t="s">
        <v>1</v>
      </c>
      <c r="C18">
        <f>SLOPE(C3:C17,$B$3:$B$17)</f>
        <v>-1.4684621428571426E-3</v>
      </c>
      <c r="D18">
        <f t="shared" ref="D18:F18" si="0">SLOPE(D3:D17,$B$3:$B$17)</f>
        <v>-1.2814285714286318E-6</v>
      </c>
      <c r="E18">
        <f t="shared" si="0"/>
        <v>3.6491928571428577E-5</v>
      </c>
      <c r="F18">
        <f t="shared" si="0"/>
        <v>-5.1071428571426787E-5</v>
      </c>
    </row>
    <row r="19" spans="2:6" x14ac:dyDescent="0.25">
      <c r="B19" t="s">
        <v>0</v>
      </c>
      <c r="C19">
        <f>INTERCEPT(C3:C17,$B$3:$B$17)</f>
        <v>1.8014900821428568</v>
      </c>
      <c r="D19">
        <f>INTERCEPT(D3:D17,$B$3:$B$17)</f>
        <v>0.5214991880952381</v>
      </c>
      <c r="E19">
        <f t="shared" ref="E19" si="1">INTERCEPT(E3:E17,$B$3:$B$17)</f>
        <v>8.043306071428568E-3</v>
      </c>
      <c r="F19">
        <f t="shared" ref="F19" si="2">INTERCEPT(F3:F17,$B$3:$B$17)</f>
        <v>20.832741071428572</v>
      </c>
    </row>
    <row r="25" spans="2:6" x14ac:dyDescent="0.25">
      <c r="C25">
        <v>201.93553693119301</v>
      </c>
      <c r="D25">
        <v>3.0040161892538601E-2</v>
      </c>
    </row>
    <row r="26" spans="2:6" x14ac:dyDescent="0.25">
      <c r="C26">
        <v>240.71178006872901</v>
      </c>
      <c r="D26">
        <v>3.1277768936870003E-2</v>
      </c>
    </row>
    <row r="27" spans="2:6" x14ac:dyDescent="0.25">
      <c r="C27">
        <v>286.38196623361802</v>
      </c>
      <c r="D27">
        <v>3.2246928717838103E-2</v>
      </c>
    </row>
    <row r="28" spans="2:6" x14ac:dyDescent="0.25">
      <c r="C28">
        <v>324.72369542750903</v>
      </c>
      <c r="D28">
        <v>3.4315220940319302E-2</v>
      </c>
    </row>
    <row r="29" spans="2:6" x14ac:dyDescent="0.25">
      <c r="C29">
        <v>368.21603739259302</v>
      </c>
      <c r="D29">
        <v>2.90256802048122E-2</v>
      </c>
    </row>
    <row r="32" spans="2:6" x14ac:dyDescent="0.25">
      <c r="C32">
        <v>201.93553693119301</v>
      </c>
      <c r="D32">
        <v>2.4047962055557301E-2</v>
      </c>
      <c r="E32">
        <v>592.98327222707098</v>
      </c>
    </row>
    <row r="33" spans="3:5" x14ac:dyDescent="0.25">
      <c r="C33">
        <v>240.71178006872901</v>
      </c>
      <c r="D33">
        <v>2.8136908671422101E-2</v>
      </c>
      <c r="E33">
        <v>512.46701667831906</v>
      </c>
    </row>
    <row r="34" spans="3:5" x14ac:dyDescent="0.25">
      <c r="C34">
        <v>286.38196623361802</v>
      </c>
      <c r="D34">
        <v>3.23537777436642E-2</v>
      </c>
      <c r="E34">
        <v>438.72734737948099</v>
      </c>
    </row>
    <row r="35" spans="3:5" x14ac:dyDescent="0.25">
      <c r="C35">
        <v>324.72369542750903</v>
      </c>
      <c r="D35">
        <v>3.5590373711010398E-2</v>
      </c>
      <c r="E35">
        <v>449.44162347525901</v>
      </c>
    </row>
    <row r="36" spans="3:5" x14ac:dyDescent="0.25">
      <c r="C36">
        <v>368.21603739259302</v>
      </c>
      <c r="D36">
        <v>1.21278865674623E-2</v>
      </c>
      <c r="E36">
        <v>695.67145295650698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Default Dataset (1)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Numbers</dc:creator>
  <cp:lastModifiedBy>Jacob Numbers</cp:lastModifiedBy>
  <dcterms:created xsi:type="dcterms:W3CDTF">2024-11-19T22:19:27Z</dcterms:created>
  <dcterms:modified xsi:type="dcterms:W3CDTF">2025-01-02T21:20:23Z</dcterms:modified>
</cp:coreProperties>
</file>